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A\nanoLogger\Dokumentation\"/>
    </mc:Choice>
  </mc:AlternateContent>
  <xr:revisionPtr revIDLastSave="0" documentId="13_ncr:1_{527FCB82-0A9D-4E40-9C3E-D7A59FF2F1DB}" xr6:coauthVersionLast="47" xr6:coauthVersionMax="47" xr10:uidLastSave="{00000000-0000-0000-0000-000000000000}"/>
  <bookViews>
    <workbookView xWindow="-96" yWindow="-96" windowWidth="23232" windowHeight="12432" xr2:uid="{28089A01-C638-4A73-8853-65C34C88E3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4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</calcChain>
</file>

<file path=xl/sharedStrings.xml><?xml version="1.0" encoding="utf-8"?>
<sst xmlns="http://schemas.openxmlformats.org/spreadsheetml/2006/main" count="513" uniqueCount="388">
  <si>
    <t>Beschreibung</t>
  </si>
  <si>
    <t>Hersteller</t>
  </si>
  <si>
    <t>Hersteller-Nr.</t>
  </si>
  <si>
    <t>Lieferant</t>
  </si>
  <si>
    <t>Lieferant-Nr.</t>
  </si>
  <si>
    <t>C1, C35</t>
  </si>
  <si>
    <t>10nF</t>
  </si>
  <si>
    <t>10nF-1%-1206-C0G-630V</t>
  </si>
  <si>
    <t>Kemet</t>
  </si>
  <si>
    <t>C1206C103FBGACAUTO</t>
  </si>
  <si>
    <t>Mouser</t>
  </si>
  <si>
    <t>80-C1206C103FBGAUTO</t>
  </si>
  <si>
    <t>C2, C8, C12, C19, C23, C27</t>
  </si>
  <si>
    <t>C0603C106M8PACTU</t>
  </si>
  <si>
    <t>80-C0603C106M8PACTU</t>
  </si>
  <si>
    <t>C3, C4, C5, C6, C7, C9, C10, C14, C20, C21, C22, C24, C26, C28, C36, C37, C38, C39, C40, C41, C42, C46, C47, C48, C49, C62, C63, C64, C65, C66, C67, C68, C69</t>
  </si>
  <si>
    <t>100nF</t>
  </si>
  <si>
    <t>100nF-20%-0402-X7R-25V</t>
  </si>
  <si>
    <t>C0402C104M3RACTU</t>
  </si>
  <si>
    <t>80-C0402C104M3R</t>
  </si>
  <si>
    <t>C11, C43, C44, C50, C51, C52, C53</t>
  </si>
  <si>
    <t>22pF</t>
  </si>
  <si>
    <t>22pF-5%-0402-C0G-50V</t>
  </si>
  <si>
    <t>C0402C220J5GACTU</t>
  </si>
  <si>
    <t>80-C0402C220J5G</t>
  </si>
  <si>
    <t>C13, C15</t>
  </si>
  <si>
    <t>C0603C225K8PACTU</t>
  </si>
  <si>
    <t>80-C0603C225K8P</t>
  </si>
  <si>
    <t>C16, C17, C18</t>
  </si>
  <si>
    <t>C0603C105K3RACTU</t>
  </si>
  <si>
    <t>80-C0603C105K3R</t>
  </si>
  <si>
    <t>C25</t>
  </si>
  <si>
    <t>C0603C475M8PACTU</t>
  </si>
  <si>
    <t>80-C0603C475M8P</t>
  </si>
  <si>
    <t>C29</t>
  </si>
  <si>
    <t>10nF-10%-0402-X7R-50V</t>
  </si>
  <si>
    <t>C0402C103K5REC7411</t>
  </si>
  <si>
    <t>80-C0402C103K5RECLR</t>
  </si>
  <si>
    <t>C30, C31</t>
  </si>
  <si>
    <t>8pF</t>
  </si>
  <si>
    <t>8pF-0.25pF-0402-C0G-50V</t>
  </si>
  <si>
    <t>CBR04C809C5GAC</t>
  </si>
  <si>
    <t>80-CBR04C809C5G</t>
  </si>
  <si>
    <t>C32, C33</t>
  </si>
  <si>
    <t>12pF</t>
  </si>
  <si>
    <t>12pF-10%-0402-C0G-25V</t>
  </si>
  <si>
    <t>C0402C120K3GACTU</t>
  </si>
  <si>
    <t>80-C0402C120K3GACTU</t>
  </si>
  <si>
    <t>C34</t>
  </si>
  <si>
    <t>100pF</t>
  </si>
  <si>
    <t>100pF-5%-0402-C0G-50V</t>
  </si>
  <si>
    <t>C0402C101J5GACTU</t>
  </si>
  <si>
    <t>80-C0402C101J5G</t>
  </si>
  <si>
    <t>C45, C54, C55, C56, C57, C58, C59, C60, C61</t>
  </si>
  <si>
    <t>1nF</t>
  </si>
  <si>
    <t>1nF-10%-0402-C0G-25V</t>
  </si>
  <si>
    <t>C0402C102K3GACTU</t>
  </si>
  <si>
    <t>80-C0402C102K3G</t>
  </si>
  <si>
    <t>C70</t>
  </si>
  <si>
    <t>C1206X106K3RACTU</t>
  </si>
  <si>
    <t>80-C1206X106K3R</t>
  </si>
  <si>
    <t>D1, D2</t>
  </si>
  <si>
    <t>MBR0520L</t>
  </si>
  <si>
    <t>Schottky Dioden &amp; Gleichrichter 0.5A 20V</t>
  </si>
  <si>
    <t>onsemi</t>
  </si>
  <si>
    <t>MBR0520LT3G</t>
  </si>
  <si>
    <t>863-MBR0520LT3G</t>
  </si>
  <si>
    <t>D3, D4, D5</t>
  </si>
  <si>
    <t>Wuerth_150044M155260</t>
  </si>
  <si>
    <t>Standard-LEDs - SMD WL-SFCC SMT LED Full-color Chip</t>
  </si>
  <si>
    <t>Wuerth Elektronik</t>
  </si>
  <si>
    <t>150044M155260</t>
  </si>
  <si>
    <t>710-150044M155260</t>
  </si>
  <si>
    <t>D6, D7, D8, D9, D10, D11, D12, D13, D14, D15, D16</t>
  </si>
  <si>
    <t>1PS79SB30</t>
  </si>
  <si>
    <t>Schottky Diode</t>
  </si>
  <si>
    <t>Nexperia</t>
  </si>
  <si>
    <t>1PS79SB30YL</t>
  </si>
  <si>
    <t>771-1PS79SB30YL</t>
  </si>
  <si>
    <t>J1</t>
  </si>
  <si>
    <t>USB_Type_C_Receptacle</t>
  </si>
  <si>
    <t>Receptacle USB - Type C 16 8.94*7.3mm USB Connectors ROHS</t>
  </si>
  <si>
    <t>Korean Hroparts Elec</t>
  </si>
  <si>
    <t>USB_C_Receptacle_HRO_TYPE-C-31-M-12</t>
  </si>
  <si>
    <t>LCSC</t>
  </si>
  <si>
    <t>C165948</t>
  </si>
  <si>
    <t>J2</t>
  </si>
  <si>
    <t>SWD Header</t>
  </si>
  <si>
    <t>Samtec</t>
  </si>
  <si>
    <t>FTSH-105-01-F-DV-K</t>
  </si>
  <si>
    <t>200-FTSH10501FDVK</t>
  </si>
  <si>
    <t>J3, J4</t>
  </si>
  <si>
    <t>TSM-102-01-F-SH</t>
  </si>
  <si>
    <t>200-TSM10201FSH</t>
  </si>
  <si>
    <t>L1</t>
  </si>
  <si>
    <t>300R 3A</t>
  </si>
  <si>
    <t>Ferritperlen WE-CBF 0805 200MHz 300Ohm 3000mA AECQ2</t>
  </si>
  <si>
    <t>710-742792031</t>
  </si>
  <si>
    <t>L2</t>
  </si>
  <si>
    <t>2.2uH Shld 20% 110mOhms AECQ2</t>
  </si>
  <si>
    <t>Coilcraft</t>
  </si>
  <si>
    <t>LPS3015-222MRB</t>
  </si>
  <si>
    <t>994-LPS3015-222MRB</t>
  </si>
  <si>
    <t>L3</t>
  </si>
  <si>
    <t>600R</t>
  </si>
  <si>
    <t>Ferritperlen 600ohm 25% 440mA</t>
  </si>
  <si>
    <t>TDK</t>
  </si>
  <si>
    <t>MMZ1005S601HTD25</t>
  </si>
  <si>
    <t>810-MMZ1005S601HTD25</t>
  </si>
  <si>
    <t>L4</t>
  </si>
  <si>
    <t>MLZ1608E100MT</t>
  </si>
  <si>
    <t>810-MLZ1608E100MT</t>
  </si>
  <si>
    <t>Q1, Q2, Q3, Q4, Q5, Q6, Q7, Q8, Q9</t>
  </si>
  <si>
    <t>DMN6040SFDE</t>
  </si>
  <si>
    <t>N-Channel MOSFET</t>
  </si>
  <si>
    <t>Diodes Incorporated</t>
  </si>
  <si>
    <t>DMN6040SFDE-7</t>
  </si>
  <si>
    <t>621-DMN6040SFDE-7</t>
  </si>
  <si>
    <t>Q10, Q11</t>
  </si>
  <si>
    <t>MMBTH10L</t>
  </si>
  <si>
    <t>Bipolartransistor NPN</t>
  </si>
  <si>
    <t xml:space="preserve">MMBTH10LT3G </t>
  </si>
  <si>
    <t xml:space="preserve"> 863-MMBTH10LT3G</t>
  </si>
  <si>
    <t>Q12, Q13, Q14, Q15, Q16</t>
  </si>
  <si>
    <t>2N7002T</t>
  </si>
  <si>
    <t>2N7002T-7-F</t>
  </si>
  <si>
    <t>621-2N7002T-F</t>
  </si>
  <si>
    <t>R1</t>
  </si>
  <si>
    <t>1M</t>
  </si>
  <si>
    <t>1M-1%-1206-250mW-50ppm</t>
  </si>
  <si>
    <t>Yageo</t>
  </si>
  <si>
    <t>RE1206FRE071ML</t>
  </si>
  <si>
    <t>603-RE1206FRE071ML</t>
  </si>
  <si>
    <t>R2, R3</t>
  </si>
  <si>
    <t>5k1</t>
  </si>
  <si>
    <t>5.1k-1%-0402-62.5mW-50ppm</t>
  </si>
  <si>
    <t>RT0402FRE075K1L</t>
  </si>
  <si>
    <t>603-RT0402FRE075K1L</t>
  </si>
  <si>
    <t>R4, R5, R6, R7</t>
  </si>
  <si>
    <t>24R</t>
  </si>
  <si>
    <t>24R-1%-0402-62.5mW-50ppm</t>
  </si>
  <si>
    <t>RT0402FRE0724RL</t>
  </si>
  <si>
    <t>603-RT0402FRE0724RL</t>
  </si>
  <si>
    <t>R8, R11, R14, R48, R50, R52, R54, R56, R60, R66</t>
  </si>
  <si>
    <t>10k</t>
  </si>
  <si>
    <t>10k-1%-0402-62.5mW-50ppm</t>
  </si>
  <si>
    <t>RT0402FRE0710KL</t>
  </si>
  <si>
    <t>603-RT0402FRE0710KL</t>
  </si>
  <si>
    <t>R9</t>
  </si>
  <si>
    <t>820k</t>
  </si>
  <si>
    <t>820k-1%-0402-62.5mW-100ppm</t>
  </si>
  <si>
    <t>RC0402FR-07820KL</t>
  </si>
  <si>
    <t>603-RC0402FR-07820KL</t>
  </si>
  <si>
    <t>R10</t>
  </si>
  <si>
    <t>182k</t>
  </si>
  <si>
    <t>182k-1%-0402-62.5mW-50ppm</t>
  </si>
  <si>
    <t>RT0402FRE07182KL</t>
  </si>
  <si>
    <t>603-RT0402FRE07182KL</t>
  </si>
  <si>
    <t>R12</t>
  </si>
  <si>
    <t>1R</t>
  </si>
  <si>
    <t>1R-1%-0402-62.5mW-50ppm</t>
  </si>
  <si>
    <t>Bourns</t>
  </si>
  <si>
    <t>CRT0402-FZ-1R00GLF</t>
  </si>
  <si>
    <t>652-CRT0402FZ1R00GLF</t>
  </si>
  <si>
    <t>R13, R15, R18, R21, R59</t>
  </si>
  <si>
    <t>1k</t>
  </si>
  <si>
    <t>1k-1%-0402-62.5mW-50ppm</t>
  </si>
  <si>
    <t>RT0402FRE071KL</t>
  </si>
  <si>
    <t>603-RT0402FRE071KL</t>
  </si>
  <si>
    <t>R16, R19, R22</t>
  </si>
  <si>
    <t>2k8</t>
  </si>
  <si>
    <t>2k8-1%-0402-62.5mW-50ppm</t>
  </si>
  <si>
    <t>RT0402FRE072K8L</t>
  </si>
  <si>
    <t xml:space="preserve"> 603-RT0402FRE072K8L</t>
  </si>
  <si>
    <t>R17, R20, R23</t>
  </si>
  <si>
    <t>1k5</t>
  </si>
  <si>
    <t>1k5-1%-0402-62.5mW-50ppm</t>
  </si>
  <si>
    <t>RT0402FRE131K5L</t>
  </si>
  <si>
    <t>603-RT0402FRE131K5L</t>
  </si>
  <si>
    <t>R24, R25</t>
  </si>
  <si>
    <t>10k 0.05%</t>
  </si>
  <si>
    <t>10k-0.05%-0402-62.5mW-10ppm</t>
  </si>
  <si>
    <t>Susumu</t>
  </si>
  <si>
    <t>RG1005N-103-W-T1</t>
  </si>
  <si>
    <t>754-RG1005N-103-WT1</t>
  </si>
  <si>
    <t>R26</t>
  </si>
  <si>
    <t>10k 0,05%</t>
  </si>
  <si>
    <t>10k-0.05%-0805-1/8W-10ppm</t>
  </si>
  <si>
    <t>RG2012N-103-W-T1</t>
  </si>
  <si>
    <t>754-RG2012N-103-W-T1</t>
  </si>
  <si>
    <t>R27</t>
  </si>
  <si>
    <t>100R 0,05%</t>
  </si>
  <si>
    <t>100R-0.05%-0805-1/8W-10ppm</t>
  </si>
  <si>
    <t>RG2012N-101-W-T1</t>
  </si>
  <si>
    <t>754-RG2012N-101-W-T1</t>
  </si>
  <si>
    <t>R28</t>
  </si>
  <si>
    <t>10R 0,05%</t>
  </si>
  <si>
    <t>10R-0.05%-0805-1/8W-10ppm</t>
  </si>
  <si>
    <t>Stackpole</t>
  </si>
  <si>
    <t>RNCF0805AKT10R0</t>
  </si>
  <si>
    <t>Digikey</t>
  </si>
  <si>
    <t>RNCF0805AKT10R0CT-ND</t>
  </si>
  <si>
    <t>R29</t>
  </si>
  <si>
    <t>100m 0,1%</t>
  </si>
  <si>
    <t>100m-0.1%-2512-1W-15ppm</t>
  </si>
  <si>
    <t>Vishay Precision Group</t>
  </si>
  <si>
    <t>Y14870R10000B9R</t>
  </si>
  <si>
    <t>71-CSM25120R1000BST</t>
  </si>
  <si>
    <t>R30</t>
  </si>
  <si>
    <t>10m 0,1%</t>
  </si>
  <si>
    <t>10m-0.1%-2512-1W-15ppm</t>
  </si>
  <si>
    <t>Y14870R01000B9R</t>
  </si>
  <si>
    <t>71-CSM25120R0100BST</t>
  </si>
  <si>
    <t>R31</t>
  </si>
  <si>
    <t>220R</t>
  </si>
  <si>
    <t>220R-1%-0805-250mW-100ppm</t>
  </si>
  <si>
    <t>RC0805JR-13220RL</t>
  </si>
  <si>
    <t>603-RC0805JR-13220RL</t>
  </si>
  <si>
    <t>R32, R35</t>
  </si>
  <si>
    <t>2k2 0,05%</t>
  </si>
  <si>
    <t>2.2k-0.05%-0402-100mW-10ppm</t>
  </si>
  <si>
    <t>Panasonic Electronic Components</t>
  </si>
  <si>
    <t>ERA-2VRW2201X</t>
  </si>
  <si>
    <t>10-ERA-2VRW2201XCT-ND</t>
  </si>
  <si>
    <t>R33, R36</t>
  </si>
  <si>
    <t>6k8 0,05%</t>
  </si>
  <si>
    <t>6.8k-0.05%-0402-100mW-10ppm</t>
  </si>
  <si>
    <t>ERA-2VRW6801X</t>
  </si>
  <si>
    <t>10-ERA-2VRW6801XCT-ND</t>
  </si>
  <si>
    <t>R34, R37</t>
  </si>
  <si>
    <t>1k 0,05%</t>
  </si>
  <si>
    <t>1k-0.05%-0402-62.5mW-5ppm</t>
  </si>
  <si>
    <t>RG1005V-102-W-T1</t>
  </si>
  <si>
    <t>754-RG1005V-102-WT1</t>
  </si>
  <si>
    <t>R38, R39, R40, R41, R42, R43, R44, R45, R46, R47, R49, R51, R53, R55</t>
  </si>
  <si>
    <t>68R</t>
  </si>
  <si>
    <t>68R-1%-0402-62.5mW-100ppm</t>
  </si>
  <si>
    <t>RC0402FR-0768RL</t>
  </si>
  <si>
    <t>603-RC0402FR-0768RL</t>
  </si>
  <si>
    <t>R57</t>
  </si>
  <si>
    <t>10k-1%-0805-330mW-200ppm</t>
  </si>
  <si>
    <t>SR0805FR-7T10KL</t>
  </si>
  <si>
    <t>603-SR0805FR-7T10KL</t>
  </si>
  <si>
    <t>R58</t>
  </si>
  <si>
    <t>100k</t>
  </si>
  <si>
    <t>100k-1%-0402-62.5mW-50ppm</t>
  </si>
  <si>
    <t>RT0402FRE07100KL</t>
  </si>
  <si>
    <t>603-RT0402FRE07100KL</t>
  </si>
  <si>
    <t>R61, R67</t>
  </si>
  <si>
    <t>15k</t>
  </si>
  <si>
    <t>15k-1%-0402-62.5mW-100ppm</t>
  </si>
  <si>
    <t>Vishay/Dale</t>
  </si>
  <si>
    <t>CRCW040215K0FKEDC</t>
  </si>
  <si>
    <t>71-CRCW040215K0FKEDC</t>
  </si>
  <si>
    <t>R62, R68</t>
  </si>
  <si>
    <t>7M5</t>
  </si>
  <si>
    <t>7.5M-1%-0402-62.5mW-100ppm</t>
  </si>
  <si>
    <t>CRCW04027M50FKED</t>
  </si>
  <si>
    <t>71-CRCW04027M50FKED</t>
  </si>
  <si>
    <t>R63, R69</t>
  </si>
  <si>
    <t>24k</t>
  </si>
  <si>
    <t>24k-1%-0402-62.5mW-100ppm</t>
  </si>
  <si>
    <t>CR0402-FX-2402GLF</t>
  </si>
  <si>
    <t>652-CR0402FX-2402GLF</t>
  </si>
  <si>
    <t>R64, R70</t>
  </si>
  <si>
    <t>36k</t>
  </si>
  <si>
    <t>36k-1%-0402-62.5mW-100ppm</t>
  </si>
  <si>
    <t>CR0402-FX-3602GLF</t>
  </si>
  <si>
    <t>652-CR0402FX-3602GLF</t>
  </si>
  <si>
    <t>R65, R71</t>
  </si>
  <si>
    <t>750k</t>
  </si>
  <si>
    <t>750k-1%-0402-62.5mW-100ppm</t>
  </si>
  <si>
    <t>CR0402-FX-7503GLF</t>
  </si>
  <si>
    <t>652-CR0402FX-7503GLF</t>
  </si>
  <si>
    <t>R72, R73, R74, R75, R76, R77, R78, R79</t>
  </si>
  <si>
    <t>100R</t>
  </si>
  <si>
    <t>100R-1%-0402-62.5mW-50ppm</t>
  </si>
  <si>
    <t>RT0402FRE07100RL</t>
  </si>
  <si>
    <t>603-RT0402FRE07100RL</t>
  </si>
  <si>
    <t>TR1</t>
  </si>
  <si>
    <t>Wuerth_750315371</t>
  </si>
  <si>
    <t>Netztransformatoren MID-SN6505 TI Driver 5V 1A 320 to 480kHz</t>
  </si>
  <si>
    <t>710-750315371</t>
  </si>
  <si>
    <t>U1</t>
  </si>
  <si>
    <t>USBLC6-2P6</t>
  </si>
  <si>
    <t>STMicroelectronics</t>
  </si>
  <si>
    <t>511-USBLC6-2P6</t>
  </si>
  <si>
    <t>U2</t>
  </si>
  <si>
    <t>ADUM4160</t>
  </si>
  <si>
    <t>Digitale Isolatoren 8mm Creep. Full/Low Speed USB Isolator</t>
  </si>
  <si>
    <t>Analog Devices</t>
  </si>
  <si>
    <t>ADUM4160BRWZ</t>
  </si>
  <si>
    <t>584-ADUM4160BRWZ</t>
  </si>
  <si>
    <t>U3</t>
  </si>
  <si>
    <t>SN6505B</t>
  </si>
  <si>
    <t>Transformer driver with soft start for isolated power supplies</t>
  </si>
  <si>
    <t>Texas Instruments</t>
  </si>
  <si>
    <t>SN6505BQDBVTQ1</t>
  </si>
  <si>
    <t>595-SN6505BQDBVTQ1</t>
  </si>
  <si>
    <t>U4</t>
  </si>
  <si>
    <t>TPS62290</t>
  </si>
  <si>
    <t>Schaltspannungsregler 2.25MHz 1A Step- Down Converter</t>
  </si>
  <si>
    <t>TPS62290DRVR</t>
  </si>
  <si>
    <t>595-TPS62290DRVR</t>
  </si>
  <si>
    <t>U5</t>
  </si>
  <si>
    <t>LP2981IM5X-5.0</t>
  </si>
  <si>
    <t>LDO Spannungs-Regulator 100-mA, 16-V, low-dropout voltage regulator with enable 5-SOT-23 -40 to 125</t>
  </si>
  <si>
    <t>LP2981IM5X-5.0/NOPB</t>
  </si>
  <si>
    <t>926-LP2981IM5X50NOPB</t>
  </si>
  <si>
    <t>U6</t>
  </si>
  <si>
    <t>TPS60400</t>
  </si>
  <si>
    <t>Schaltspannungsregler</t>
  </si>
  <si>
    <t>TPS60401QDBVRQ1</t>
  </si>
  <si>
    <t xml:space="preserve">595-TPS60401QDBVRQ1 </t>
  </si>
  <si>
    <t>U7</t>
  </si>
  <si>
    <t>ATSAMD51G18A-M</t>
  </si>
  <si>
    <t>ARM Mikrocontroller - MCU 120MHZ 256KB Flash 48 QFN</t>
  </si>
  <si>
    <t>Microchip Technology / Atmel</t>
  </si>
  <si>
    <t>ATSAMD51G18A-MF</t>
  </si>
  <si>
    <t>556-ATSAMD51G18A-MF</t>
  </si>
  <si>
    <t>U8</t>
  </si>
  <si>
    <t>ISL21080CIH315Z-TK</t>
  </si>
  <si>
    <t>Spannungsreferenzen PBFREE PRECISION 1 5V LW V FGA"F 0 5%</t>
  </si>
  <si>
    <t>Renesas/Intersil</t>
  </si>
  <si>
    <t>968-ISL21080CIH315ZT</t>
  </si>
  <si>
    <t>U9, U10</t>
  </si>
  <si>
    <t>OPA189</t>
  </si>
  <si>
    <t xml:space="preserve">OPA189IDBVT </t>
  </si>
  <si>
    <t>595-OPA189IDBVT</t>
  </si>
  <si>
    <t>U11</t>
  </si>
  <si>
    <t>PS2533L-1-F3-A</t>
  </si>
  <si>
    <t>Transistor-Ausgangsoptokoppler Optocoupler 4-pin DIP</t>
  </si>
  <si>
    <t>Renesas Electronics</t>
  </si>
  <si>
    <t>968-PS2533L-1-F3-A</t>
  </si>
  <si>
    <t>U12, U13, U14, U15</t>
  </si>
  <si>
    <t>LMV761</t>
  </si>
  <si>
    <t>LMV761MFX</t>
  </si>
  <si>
    <t>926-LMV761MFX</t>
  </si>
  <si>
    <t>U16, U17, U18, U23</t>
  </si>
  <si>
    <t>SN74AHC1G04</t>
  </si>
  <si>
    <t>Logik Gatter NOT</t>
  </si>
  <si>
    <t>SN74AHC1G04DRLR</t>
  </si>
  <si>
    <t>595-SN74AHC1G04DRLR</t>
  </si>
  <si>
    <t>U19</t>
  </si>
  <si>
    <t>SN74AHC1G32</t>
  </si>
  <si>
    <t>Logik Gatter OR</t>
  </si>
  <si>
    <t>SN74AHC1G32DRLRG4</t>
  </si>
  <si>
    <t>595-74AHC1G32DRLRG4</t>
  </si>
  <si>
    <t>U20, U21, U22</t>
  </si>
  <si>
    <t>SN74AHC1G02</t>
  </si>
  <si>
    <t>Logik Gatter NOR</t>
  </si>
  <si>
    <t>SN74AHC1G02DRLR</t>
  </si>
  <si>
    <t>595-SN74AHC1G02DRLR</t>
  </si>
  <si>
    <t>Y1</t>
  </si>
  <si>
    <t>ABM10W-48MHZ</t>
  </si>
  <si>
    <t>Quarze CRYSTAL 48.0000MHZ 8PF SMD</t>
  </si>
  <si>
    <t>Abracon</t>
  </si>
  <si>
    <t>ABM10W-48.0000MHZ-8-K1Z-T3</t>
  </si>
  <si>
    <t>815-10W48-8K1ZT</t>
  </si>
  <si>
    <t>Y2</t>
  </si>
  <si>
    <t>ABS06-32.768K</t>
  </si>
  <si>
    <t>Quarze 32.768K HZ 12.5PF -40+85C</t>
  </si>
  <si>
    <t>ABS06-32.768KHZ-T</t>
  </si>
  <si>
    <t>815-ABS06-32.768K-T</t>
  </si>
  <si>
    <t>Menge</t>
  </si>
  <si>
    <t>Wert/Typ</t>
  </si>
  <si>
    <t>Bauteilbezeichnung</t>
  </si>
  <si>
    <t>Position</t>
  </si>
  <si>
    <t>10µH</t>
  </si>
  <si>
    <t>2.2µH</t>
  </si>
  <si>
    <t>2,54mm Steckerleiste</t>
  </si>
  <si>
    <t>Sockel &amp; Kabelgehäuse .100 Surface Mount Terminal Strip</t>
  </si>
  <si>
    <t>Sockel &amp; Kabelgehäuse High Reliability Header Strips, 0.050 pitch</t>
  </si>
  <si>
    <t>Festinduktivitäten 0603 10uH 20%</t>
  </si>
  <si>
    <t>ESD-Entstörer/TVS-Dioden High Speed Interface Protection Low Cap</t>
  </si>
  <si>
    <t>Präzisionsverstärker</t>
  </si>
  <si>
    <t>10µF</t>
  </si>
  <si>
    <t>1µF</t>
  </si>
  <si>
    <t>2.2µF</t>
  </si>
  <si>
    <t>4.7µF</t>
  </si>
  <si>
    <t>Präzisionskomparator</t>
  </si>
  <si>
    <t>10µF-10%-1206-X7R-25V</t>
  </si>
  <si>
    <t>4.7µF-20%-0603-X5R-10V</t>
  </si>
  <si>
    <t>1µF-10%-0603-X7R-25V</t>
  </si>
  <si>
    <t>2.2µF-10%-0603-X5R-10V</t>
  </si>
  <si>
    <t>10µF-20%-0603-X5R-10V</t>
  </si>
  <si>
    <t>Stückpreis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</si>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</sst>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Standard" xfId="0" builtinId="0"/>
  </cellStyles>
  <dxfs count="24">
    <dxf>
      <numFmt numFmtId="164" formatCode="#,##0.00\ &quot;€&quot;"/>
      <alignment horizontal="left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#,##0.00\ &quot;€&quot;"/>
      <alignment horizontal="left" vertical="top" textRotation="0" wrapText="1" indent="0" justifyLastLine="0" shrinkToFit="0" readingOrder="0"/>
    </dxf>
    <dxf>
      <numFmt numFmtId="164" formatCode="#,##0.00\ &quot;€&quot;"/>
      <alignment horizontal="left" vertical="top" textRotation="0" wrapText="1" indent="0" justifyLastLine="0" shrinkToFit="0" readingOrder="0"/>
    </dxf>
    <dxf>
      <numFmt numFmtId="164" formatCode="#,##0.00\ &quot;€&quot;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8F285-ECF2-48AA-9755-4921634BBF21}" name="Tabelle3" displayName="Tabelle3" ref="A1:K74" totalsRowCount="1" headerRowDxfId="23" dataDxfId="22">
  <autoFilter ref="A1:K73" xr:uid="{5288F285-ECF2-48AA-9755-4921634BBF21}"/>
  <tableColumns count="11">
    <tableColumn id="1" xr3:uid="{598FDAC0-C278-4538-999A-FAD54A94388A}" name="Position" dataDxfId="21" totalsRowDxfId="20"/>
    <tableColumn id="2" xr3:uid="{AF1E8DF7-619F-4C2A-B003-DAC6E25BEDE2}" name="Menge" dataDxfId="19" totalsRowDxfId="18"/>
    <tableColumn id="3" xr3:uid="{5C1168E9-0B9F-4F33-AFA9-FD69C74AE6E3}" name="Bauteilbezeichnung" dataDxfId="17" totalsRowDxfId="16"/>
    <tableColumn id="4" xr3:uid="{1E93A2EA-9450-4307-ACFA-8915FF55A532}" name="Wert/Typ" dataDxfId="15" totalsRowDxfId="14"/>
    <tableColumn id="5" xr3:uid="{86C02620-803E-46F3-91FF-B1E0C0DA5B66}" name="Beschreibung" dataDxfId="13" totalsRowDxfId="12"/>
    <tableColumn id="6" xr3:uid="{00F81252-B4F4-4CE4-A355-EBD45D168C8B}" name="Hersteller" dataDxfId="11" totalsRowDxfId="10"/>
    <tableColumn id="7" xr3:uid="{A67A38B9-7BF9-4C9A-8B4E-86BE827DB019}" name="Hersteller-Nr." dataDxfId="9" totalsRowDxfId="8"/>
    <tableColumn id="8" xr3:uid="{9FB97556-EE2D-4F3F-A7A4-C52A4DF800CE}" name="Lieferant" dataDxfId="7" totalsRowDxfId="6"/>
    <tableColumn id="9" xr3:uid="{AB3C37D0-7962-4A81-AB8A-B1F5B909FCD9}" name="Lieferant-Nr." dataDxfId="5" totalsRowDxfId="4"/>
    <tableColumn id="10" xr3:uid="{0C50BD0F-9CAC-4982-964A-D6100E28F72A}" name="Stückpreis" dataDxfId="3" totalsRowDxfId="2"/>
    <tableColumn id="11" xr3:uid="{27439A11-F493-400A-BDF3-C2180A43FFC7}" name="Gesamtpreis" totalsRowFunction="sum" dataDxfId="1" totalsRowDxfId="0">
      <calculatedColumnFormula>J2*B2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B9AC-7051-4537-B761-B1BA6CAE4CF9}">
  <dimension ref="A1:K74"/>
  <sheetViews>
    <sheetView tabSelected="1" topLeftCell="D61" zoomScale="85" zoomScaleNormal="85" workbookViewId="0">
      <selection activeCell="N24" sqref="N24"/>
    </sheetView>
  </sheetViews>
  <sheetFormatPr baseColWidth="10" defaultColWidth="10.89453125" defaultRowHeight="14.4" x14ac:dyDescent="0.55000000000000004"/>
  <cols>
    <col min="1" max="1" width="9.89453125" style="2" customWidth="1"/>
    <col min="2" max="2" width="8.734375" style="2" customWidth="1"/>
    <col min="3" max="3" width="56.47265625" style="1" customWidth="1"/>
    <col min="4" max="4" width="21.734375" style="2" customWidth="1"/>
    <col min="5" max="5" width="52.26171875" style="2" customWidth="1"/>
    <col min="6" max="6" width="28.05078125" style="2" customWidth="1"/>
    <col min="7" max="7" width="21.734375" style="2" customWidth="1"/>
    <col min="8" max="8" width="10.734375" style="2" customWidth="1"/>
    <col min="9" max="9" width="23.20703125" style="2" customWidth="1"/>
    <col min="10" max="10" width="11.734375" style="1" customWidth="1"/>
    <col min="11" max="11" width="13.3671875" style="1" customWidth="1"/>
    <col min="12" max="16384" width="10.89453125" style="1"/>
  </cols>
  <sheetData>
    <row r="1" spans="1:11" x14ac:dyDescent="0.55000000000000004">
      <c r="A1" s="3" t="s">
        <v>367</v>
      </c>
      <c r="B1" s="3" t="s">
        <v>364</v>
      </c>
      <c r="C1" s="4" t="s">
        <v>366</v>
      </c>
      <c r="D1" s="3" t="s">
        <v>365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386</v>
      </c>
      <c r="K1" s="3" t="s">
        <v>387</v>
      </c>
    </row>
    <row r="2" spans="1:11" x14ac:dyDescent="0.55000000000000004">
      <c r="A2" s="3">
        <v>1</v>
      </c>
      <c r="B2" s="3">
        <v>2</v>
      </c>
      <c r="C2" s="4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5">
        <v>1.03</v>
      </c>
      <c r="K2" s="5">
        <f t="shared" ref="K2:K33" si="0">J2*B2</f>
        <v>2.06</v>
      </c>
    </row>
    <row r="3" spans="1:11" x14ac:dyDescent="0.55000000000000004">
      <c r="A3" s="3">
        <v>2</v>
      </c>
      <c r="B3" s="3">
        <v>6</v>
      </c>
      <c r="C3" s="4" t="s">
        <v>12</v>
      </c>
      <c r="D3" s="3" t="s">
        <v>376</v>
      </c>
      <c r="E3" s="3" t="s">
        <v>385</v>
      </c>
      <c r="F3" s="3" t="s">
        <v>8</v>
      </c>
      <c r="G3" s="3" t="s">
        <v>13</v>
      </c>
      <c r="H3" s="3" t="s">
        <v>10</v>
      </c>
      <c r="I3" s="3" t="s">
        <v>14</v>
      </c>
      <c r="J3" s="5">
        <v>0.43</v>
      </c>
      <c r="K3" s="5">
        <f t="shared" si="0"/>
        <v>2.58</v>
      </c>
    </row>
    <row r="4" spans="1:11" ht="43.2" x14ac:dyDescent="0.55000000000000004">
      <c r="A4" s="3">
        <v>3</v>
      </c>
      <c r="B4" s="3">
        <v>33</v>
      </c>
      <c r="C4" s="4" t="s">
        <v>15</v>
      </c>
      <c r="D4" s="3" t="s">
        <v>16</v>
      </c>
      <c r="E4" s="3" t="s">
        <v>17</v>
      </c>
      <c r="F4" s="3" t="s">
        <v>8</v>
      </c>
      <c r="G4" s="3" t="s">
        <v>18</v>
      </c>
      <c r="H4" s="3" t="s">
        <v>10</v>
      </c>
      <c r="I4" s="3" t="s">
        <v>19</v>
      </c>
      <c r="J4" s="5">
        <v>0.26</v>
      </c>
      <c r="K4" s="5">
        <f t="shared" si="0"/>
        <v>8.58</v>
      </c>
    </row>
    <row r="5" spans="1:11" x14ac:dyDescent="0.55000000000000004">
      <c r="A5" s="3">
        <v>4</v>
      </c>
      <c r="B5" s="3">
        <v>7</v>
      </c>
      <c r="C5" s="4" t="s">
        <v>20</v>
      </c>
      <c r="D5" s="3" t="s">
        <v>21</v>
      </c>
      <c r="E5" s="3" t="s">
        <v>22</v>
      </c>
      <c r="F5" s="3" t="s">
        <v>8</v>
      </c>
      <c r="G5" s="3" t="s">
        <v>23</v>
      </c>
      <c r="H5" s="3" t="s">
        <v>10</v>
      </c>
      <c r="I5" s="3" t="s">
        <v>24</v>
      </c>
      <c r="J5" s="5">
        <v>0.09</v>
      </c>
      <c r="K5" s="5">
        <f t="shared" si="0"/>
        <v>0.63</v>
      </c>
    </row>
    <row r="6" spans="1:11" x14ac:dyDescent="0.55000000000000004">
      <c r="A6" s="3">
        <v>5</v>
      </c>
      <c r="B6" s="3">
        <v>2</v>
      </c>
      <c r="C6" s="4" t="s">
        <v>25</v>
      </c>
      <c r="D6" s="3" t="s">
        <v>378</v>
      </c>
      <c r="E6" s="3" t="s">
        <v>384</v>
      </c>
      <c r="F6" s="3" t="s">
        <v>8</v>
      </c>
      <c r="G6" s="3" t="s">
        <v>26</v>
      </c>
      <c r="H6" s="3" t="s">
        <v>10</v>
      </c>
      <c r="I6" s="3" t="s">
        <v>27</v>
      </c>
      <c r="J6" s="5">
        <v>0.22</v>
      </c>
      <c r="K6" s="5">
        <f t="shared" si="0"/>
        <v>0.44</v>
      </c>
    </row>
    <row r="7" spans="1:11" x14ac:dyDescent="0.55000000000000004">
      <c r="A7" s="3">
        <v>6</v>
      </c>
      <c r="B7" s="3">
        <v>3</v>
      </c>
      <c r="C7" s="4" t="s">
        <v>28</v>
      </c>
      <c r="D7" s="3" t="s">
        <v>377</v>
      </c>
      <c r="E7" s="3" t="s">
        <v>383</v>
      </c>
      <c r="F7" s="3" t="s">
        <v>8</v>
      </c>
      <c r="G7" s="3" t="s">
        <v>29</v>
      </c>
      <c r="H7" s="3" t="s">
        <v>10</v>
      </c>
      <c r="I7" s="3" t="s">
        <v>30</v>
      </c>
      <c r="J7" s="5">
        <v>0.26</v>
      </c>
      <c r="K7" s="5">
        <f t="shared" si="0"/>
        <v>0.78</v>
      </c>
    </row>
    <row r="8" spans="1:11" x14ac:dyDescent="0.55000000000000004">
      <c r="A8" s="3">
        <v>7</v>
      </c>
      <c r="B8" s="3">
        <v>1</v>
      </c>
      <c r="C8" s="4" t="s">
        <v>31</v>
      </c>
      <c r="D8" s="3" t="s">
        <v>379</v>
      </c>
      <c r="E8" s="3" t="s">
        <v>382</v>
      </c>
      <c r="F8" s="3" t="s">
        <v>8</v>
      </c>
      <c r="G8" s="3" t="s">
        <v>32</v>
      </c>
      <c r="H8" s="3" t="s">
        <v>10</v>
      </c>
      <c r="I8" s="3" t="s">
        <v>33</v>
      </c>
      <c r="J8" s="5">
        <v>0.23</v>
      </c>
      <c r="K8" s="5">
        <f t="shared" si="0"/>
        <v>0.23</v>
      </c>
    </row>
    <row r="9" spans="1:11" x14ac:dyDescent="0.55000000000000004">
      <c r="A9" s="3">
        <v>8</v>
      </c>
      <c r="B9" s="3">
        <v>1</v>
      </c>
      <c r="C9" s="4" t="s">
        <v>34</v>
      </c>
      <c r="D9" s="3" t="s">
        <v>6</v>
      </c>
      <c r="E9" s="3" t="s">
        <v>35</v>
      </c>
      <c r="F9" s="3" t="s">
        <v>8</v>
      </c>
      <c r="G9" s="3" t="s">
        <v>36</v>
      </c>
      <c r="H9" s="3" t="s">
        <v>10</v>
      </c>
      <c r="I9" s="3" t="s">
        <v>37</v>
      </c>
      <c r="J9" s="5">
        <v>0.1</v>
      </c>
      <c r="K9" s="5">
        <f t="shared" si="0"/>
        <v>0.1</v>
      </c>
    </row>
    <row r="10" spans="1:11" x14ac:dyDescent="0.55000000000000004">
      <c r="A10" s="3">
        <v>9</v>
      </c>
      <c r="B10" s="3">
        <v>2</v>
      </c>
      <c r="C10" s="4" t="s">
        <v>38</v>
      </c>
      <c r="D10" s="3" t="s">
        <v>39</v>
      </c>
      <c r="E10" s="3" t="s">
        <v>40</v>
      </c>
      <c r="F10" s="3" t="s">
        <v>8</v>
      </c>
      <c r="G10" s="3" t="s">
        <v>41</v>
      </c>
      <c r="H10" s="3" t="s">
        <v>10</v>
      </c>
      <c r="I10" s="3" t="s">
        <v>42</v>
      </c>
      <c r="J10" s="5">
        <v>0.12</v>
      </c>
      <c r="K10" s="5">
        <f t="shared" si="0"/>
        <v>0.24</v>
      </c>
    </row>
    <row r="11" spans="1:11" x14ac:dyDescent="0.55000000000000004">
      <c r="A11" s="3">
        <v>10</v>
      </c>
      <c r="B11" s="3">
        <v>2</v>
      </c>
      <c r="C11" s="4" t="s">
        <v>43</v>
      </c>
      <c r="D11" s="3" t="s">
        <v>44</v>
      </c>
      <c r="E11" s="3" t="s">
        <v>45</v>
      </c>
      <c r="F11" s="3" t="s">
        <v>8</v>
      </c>
      <c r="G11" s="3" t="s">
        <v>46</v>
      </c>
      <c r="H11" s="3" t="s">
        <v>10</v>
      </c>
      <c r="I11" s="3" t="s">
        <v>47</v>
      </c>
      <c r="J11" s="5">
        <v>0.33</v>
      </c>
      <c r="K11" s="5">
        <f t="shared" si="0"/>
        <v>0.66</v>
      </c>
    </row>
    <row r="12" spans="1:11" x14ac:dyDescent="0.55000000000000004">
      <c r="A12" s="3">
        <v>11</v>
      </c>
      <c r="B12" s="3">
        <v>1</v>
      </c>
      <c r="C12" s="4" t="s">
        <v>48</v>
      </c>
      <c r="D12" s="3" t="s">
        <v>49</v>
      </c>
      <c r="E12" s="3" t="s">
        <v>50</v>
      </c>
      <c r="F12" s="3" t="s">
        <v>8</v>
      </c>
      <c r="G12" s="3" t="s">
        <v>51</v>
      </c>
      <c r="H12" s="3" t="s">
        <v>10</v>
      </c>
      <c r="I12" s="3" t="s">
        <v>52</v>
      </c>
      <c r="J12" s="5">
        <v>0.09</v>
      </c>
      <c r="K12" s="5">
        <f t="shared" si="0"/>
        <v>0.09</v>
      </c>
    </row>
    <row r="13" spans="1:11" x14ac:dyDescent="0.55000000000000004">
      <c r="A13" s="3">
        <v>12</v>
      </c>
      <c r="B13" s="3">
        <v>9</v>
      </c>
      <c r="C13" s="4" t="s">
        <v>53</v>
      </c>
      <c r="D13" s="3" t="s">
        <v>54</v>
      </c>
      <c r="E13" s="3" t="s">
        <v>55</v>
      </c>
      <c r="F13" s="3" t="s">
        <v>8</v>
      </c>
      <c r="G13" s="3" t="s">
        <v>56</v>
      </c>
      <c r="H13" s="3" t="s">
        <v>10</v>
      </c>
      <c r="I13" s="3" t="s">
        <v>57</v>
      </c>
      <c r="J13" s="5">
        <v>0.27</v>
      </c>
      <c r="K13" s="5">
        <f t="shared" si="0"/>
        <v>2.4300000000000002</v>
      </c>
    </row>
    <row r="14" spans="1:11" x14ac:dyDescent="0.55000000000000004">
      <c r="A14" s="3">
        <v>13</v>
      </c>
      <c r="B14" s="3">
        <v>1</v>
      </c>
      <c r="C14" s="4" t="s">
        <v>58</v>
      </c>
      <c r="D14" s="3" t="s">
        <v>376</v>
      </c>
      <c r="E14" s="3" t="s">
        <v>381</v>
      </c>
      <c r="F14" s="3" t="s">
        <v>8</v>
      </c>
      <c r="G14" s="3" t="s">
        <v>59</v>
      </c>
      <c r="H14" s="3" t="s">
        <v>10</v>
      </c>
      <c r="I14" s="3" t="s">
        <v>60</v>
      </c>
      <c r="J14" s="5">
        <v>0.94</v>
      </c>
      <c r="K14" s="5">
        <f t="shared" si="0"/>
        <v>0.94</v>
      </c>
    </row>
    <row r="15" spans="1:11" x14ac:dyDescent="0.55000000000000004">
      <c r="A15" s="3">
        <v>14</v>
      </c>
      <c r="B15" s="3">
        <v>2</v>
      </c>
      <c r="C15" s="4" t="s">
        <v>61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10</v>
      </c>
      <c r="I15" s="3" t="s">
        <v>66</v>
      </c>
      <c r="J15" s="5">
        <v>0.36</v>
      </c>
      <c r="K15" s="5">
        <f t="shared" si="0"/>
        <v>0.72</v>
      </c>
    </row>
    <row r="16" spans="1:11" x14ac:dyDescent="0.55000000000000004">
      <c r="A16" s="3">
        <v>15</v>
      </c>
      <c r="B16" s="3">
        <v>3</v>
      </c>
      <c r="C16" s="4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3" t="s">
        <v>10</v>
      </c>
      <c r="I16" s="3" t="s">
        <v>72</v>
      </c>
      <c r="J16" s="5">
        <v>0.47</v>
      </c>
      <c r="K16" s="5">
        <f t="shared" si="0"/>
        <v>1.41</v>
      </c>
    </row>
    <row r="17" spans="1:11" x14ac:dyDescent="0.55000000000000004">
      <c r="A17" s="3">
        <v>16</v>
      </c>
      <c r="B17" s="3">
        <v>11</v>
      </c>
      <c r="C17" s="4" t="s">
        <v>73</v>
      </c>
      <c r="D17" s="3" t="s">
        <v>74</v>
      </c>
      <c r="E17" s="3" t="s">
        <v>75</v>
      </c>
      <c r="F17" s="3" t="s">
        <v>76</v>
      </c>
      <c r="G17" s="3" t="s">
        <v>77</v>
      </c>
      <c r="H17" s="3" t="s">
        <v>10</v>
      </c>
      <c r="I17" s="3" t="s">
        <v>78</v>
      </c>
      <c r="J17" s="5">
        <v>0.27</v>
      </c>
      <c r="K17" s="5">
        <f t="shared" si="0"/>
        <v>2.97</v>
      </c>
    </row>
    <row r="18" spans="1:11" ht="28.8" x14ac:dyDescent="0.55000000000000004">
      <c r="A18" s="3">
        <v>17</v>
      </c>
      <c r="B18" s="3">
        <v>1</v>
      </c>
      <c r="C18" s="4" t="s">
        <v>79</v>
      </c>
      <c r="D18" s="3" t="s">
        <v>80</v>
      </c>
      <c r="E18" s="3" t="s">
        <v>81</v>
      </c>
      <c r="F18" s="3" t="s">
        <v>82</v>
      </c>
      <c r="G18" s="3" t="s">
        <v>83</v>
      </c>
      <c r="H18" s="3" t="s">
        <v>84</v>
      </c>
      <c r="I18" s="3" t="s">
        <v>85</v>
      </c>
      <c r="J18" s="5">
        <v>0.28999999999999998</v>
      </c>
      <c r="K18" s="5">
        <f t="shared" si="0"/>
        <v>0.28999999999999998</v>
      </c>
    </row>
    <row r="19" spans="1:11" x14ac:dyDescent="0.55000000000000004">
      <c r="A19" s="3">
        <v>18</v>
      </c>
      <c r="B19" s="3">
        <v>1</v>
      </c>
      <c r="C19" s="4" t="s">
        <v>86</v>
      </c>
      <c r="D19" s="3" t="s">
        <v>87</v>
      </c>
      <c r="E19" s="3" t="s">
        <v>372</v>
      </c>
      <c r="F19" s="3" t="s">
        <v>88</v>
      </c>
      <c r="G19" s="3" t="s">
        <v>89</v>
      </c>
      <c r="H19" s="3" t="s">
        <v>10</v>
      </c>
      <c r="I19" s="3" t="s">
        <v>90</v>
      </c>
      <c r="J19" s="5">
        <v>3.64</v>
      </c>
      <c r="K19" s="5">
        <f t="shared" si="0"/>
        <v>3.64</v>
      </c>
    </row>
    <row r="20" spans="1:11" x14ac:dyDescent="0.55000000000000004">
      <c r="A20" s="3">
        <v>19</v>
      </c>
      <c r="B20" s="3">
        <v>2</v>
      </c>
      <c r="C20" s="4" t="s">
        <v>91</v>
      </c>
      <c r="D20" s="3" t="s">
        <v>370</v>
      </c>
      <c r="E20" s="3" t="s">
        <v>371</v>
      </c>
      <c r="F20" s="3" t="s">
        <v>88</v>
      </c>
      <c r="G20" s="3" t="s">
        <v>92</v>
      </c>
      <c r="H20" s="3" t="s">
        <v>10</v>
      </c>
      <c r="I20" s="3" t="s">
        <v>93</v>
      </c>
      <c r="J20" s="5">
        <v>0.5</v>
      </c>
      <c r="K20" s="5">
        <f t="shared" si="0"/>
        <v>1</v>
      </c>
    </row>
    <row r="21" spans="1:11" x14ac:dyDescent="0.55000000000000004">
      <c r="A21" s="3">
        <v>20</v>
      </c>
      <c r="B21" s="3">
        <v>1</v>
      </c>
      <c r="C21" s="4" t="s">
        <v>94</v>
      </c>
      <c r="D21" s="3" t="s">
        <v>95</v>
      </c>
      <c r="E21" s="3" t="s">
        <v>96</v>
      </c>
      <c r="F21" s="3" t="s">
        <v>70</v>
      </c>
      <c r="G21" s="3">
        <v>742792031</v>
      </c>
      <c r="H21" s="3" t="s">
        <v>10</v>
      </c>
      <c r="I21" s="3" t="s">
        <v>97</v>
      </c>
      <c r="J21" s="5">
        <v>0.2</v>
      </c>
      <c r="K21" s="5">
        <f t="shared" si="0"/>
        <v>0.2</v>
      </c>
    </row>
    <row r="22" spans="1:11" x14ac:dyDescent="0.55000000000000004">
      <c r="A22" s="3">
        <v>21</v>
      </c>
      <c r="B22" s="3">
        <v>1</v>
      </c>
      <c r="C22" s="4" t="s">
        <v>98</v>
      </c>
      <c r="D22" s="3" t="s">
        <v>369</v>
      </c>
      <c r="E22" s="3" t="s">
        <v>99</v>
      </c>
      <c r="F22" s="3" t="s">
        <v>100</v>
      </c>
      <c r="G22" s="3" t="s">
        <v>101</v>
      </c>
      <c r="H22" s="3" t="s">
        <v>10</v>
      </c>
      <c r="I22" s="3" t="s">
        <v>102</v>
      </c>
      <c r="J22" s="5">
        <v>1.1299999999999999</v>
      </c>
      <c r="K22" s="5">
        <f t="shared" si="0"/>
        <v>1.1299999999999999</v>
      </c>
    </row>
    <row r="23" spans="1:11" x14ac:dyDescent="0.55000000000000004">
      <c r="A23" s="3">
        <v>22</v>
      </c>
      <c r="B23" s="3">
        <v>1</v>
      </c>
      <c r="C23" s="4" t="s">
        <v>103</v>
      </c>
      <c r="D23" s="3" t="s">
        <v>104</v>
      </c>
      <c r="E23" s="3" t="s">
        <v>105</v>
      </c>
      <c r="F23" s="3" t="s">
        <v>106</v>
      </c>
      <c r="G23" s="3" t="s">
        <v>107</v>
      </c>
      <c r="H23" s="3" t="s">
        <v>10</v>
      </c>
      <c r="I23" s="3" t="s">
        <v>108</v>
      </c>
      <c r="J23" s="5">
        <v>0.09</v>
      </c>
      <c r="K23" s="5">
        <f t="shared" si="0"/>
        <v>0.09</v>
      </c>
    </row>
    <row r="24" spans="1:11" x14ac:dyDescent="0.55000000000000004">
      <c r="A24" s="3">
        <v>23</v>
      </c>
      <c r="B24" s="3">
        <v>1</v>
      </c>
      <c r="C24" s="4" t="s">
        <v>109</v>
      </c>
      <c r="D24" s="3" t="s">
        <v>368</v>
      </c>
      <c r="E24" s="3" t="s">
        <v>373</v>
      </c>
      <c r="F24" s="3" t="s">
        <v>106</v>
      </c>
      <c r="G24" s="3" t="s">
        <v>110</v>
      </c>
      <c r="H24" s="3" t="s">
        <v>10</v>
      </c>
      <c r="I24" s="3" t="s">
        <v>111</v>
      </c>
      <c r="J24" s="5">
        <v>0.14000000000000001</v>
      </c>
      <c r="K24" s="5">
        <f t="shared" si="0"/>
        <v>0.14000000000000001</v>
      </c>
    </row>
    <row r="25" spans="1:11" x14ac:dyDescent="0.55000000000000004">
      <c r="A25" s="3">
        <v>24</v>
      </c>
      <c r="B25" s="3">
        <v>9</v>
      </c>
      <c r="C25" s="4" t="s">
        <v>112</v>
      </c>
      <c r="D25" s="3" t="s">
        <v>113</v>
      </c>
      <c r="E25" s="3" t="s">
        <v>114</v>
      </c>
      <c r="F25" s="3" t="s">
        <v>115</v>
      </c>
      <c r="G25" s="3" t="s">
        <v>116</v>
      </c>
      <c r="H25" s="3" t="s">
        <v>10</v>
      </c>
      <c r="I25" s="3" t="s">
        <v>117</v>
      </c>
      <c r="J25" s="5">
        <v>0.59</v>
      </c>
      <c r="K25" s="5">
        <f t="shared" si="0"/>
        <v>5.31</v>
      </c>
    </row>
    <row r="26" spans="1:11" x14ac:dyDescent="0.55000000000000004">
      <c r="A26" s="3">
        <v>25</v>
      </c>
      <c r="B26" s="3">
        <v>2</v>
      </c>
      <c r="C26" s="4" t="s">
        <v>118</v>
      </c>
      <c r="D26" s="3" t="s">
        <v>119</v>
      </c>
      <c r="E26" s="3" t="s">
        <v>120</v>
      </c>
      <c r="F26" s="3" t="s">
        <v>64</v>
      </c>
      <c r="G26" s="3" t="s">
        <v>121</v>
      </c>
      <c r="H26" s="3" t="s">
        <v>10</v>
      </c>
      <c r="I26" s="3" t="s">
        <v>122</v>
      </c>
      <c r="J26" s="5">
        <v>0.26</v>
      </c>
      <c r="K26" s="5">
        <f t="shared" si="0"/>
        <v>0.52</v>
      </c>
    </row>
    <row r="27" spans="1:11" x14ac:dyDescent="0.55000000000000004">
      <c r="A27" s="3">
        <v>26</v>
      </c>
      <c r="B27" s="3">
        <v>5</v>
      </c>
      <c r="C27" s="4" t="s">
        <v>123</v>
      </c>
      <c r="D27" s="3" t="s">
        <v>124</v>
      </c>
      <c r="E27" s="3" t="s">
        <v>114</v>
      </c>
      <c r="F27" s="3" t="s">
        <v>115</v>
      </c>
      <c r="G27" s="3" t="s">
        <v>125</v>
      </c>
      <c r="H27" s="3" t="s">
        <v>10</v>
      </c>
      <c r="I27" s="3" t="s">
        <v>126</v>
      </c>
      <c r="J27" s="5">
        <v>0.38</v>
      </c>
      <c r="K27" s="5">
        <f t="shared" si="0"/>
        <v>1.9</v>
      </c>
    </row>
    <row r="28" spans="1:11" x14ac:dyDescent="0.55000000000000004">
      <c r="A28" s="3">
        <v>27</v>
      </c>
      <c r="B28" s="3">
        <v>1</v>
      </c>
      <c r="C28" s="4" t="s">
        <v>127</v>
      </c>
      <c r="D28" s="3" t="s">
        <v>128</v>
      </c>
      <c r="E28" s="3" t="s">
        <v>129</v>
      </c>
      <c r="F28" s="3" t="s">
        <v>130</v>
      </c>
      <c r="G28" s="3" t="s">
        <v>131</v>
      </c>
      <c r="H28" s="3" t="s">
        <v>10</v>
      </c>
      <c r="I28" s="3" t="s">
        <v>132</v>
      </c>
      <c r="J28" s="5">
        <v>0.12</v>
      </c>
      <c r="K28" s="5">
        <f t="shared" si="0"/>
        <v>0.12</v>
      </c>
    </row>
    <row r="29" spans="1:11" x14ac:dyDescent="0.55000000000000004">
      <c r="A29" s="3">
        <v>28</v>
      </c>
      <c r="B29" s="3">
        <v>2</v>
      </c>
      <c r="C29" s="4" t="s">
        <v>133</v>
      </c>
      <c r="D29" s="3" t="s">
        <v>134</v>
      </c>
      <c r="E29" s="3" t="s">
        <v>135</v>
      </c>
      <c r="F29" s="3" t="s">
        <v>130</v>
      </c>
      <c r="G29" s="3" t="s">
        <v>136</v>
      </c>
      <c r="H29" s="3" t="s">
        <v>10</v>
      </c>
      <c r="I29" s="3" t="s">
        <v>137</v>
      </c>
      <c r="J29" s="5">
        <v>0.09</v>
      </c>
      <c r="K29" s="5">
        <f t="shared" si="0"/>
        <v>0.18</v>
      </c>
    </row>
    <row r="30" spans="1:11" x14ac:dyDescent="0.55000000000000004">
      <c r="A30" s="3">
        <v>29</v>
      </c>
      <c r="B30" s="3">
        <v>4</v>
      </c>
      <c r="C30" s="4" t="s">
        <v>138</v>
      </c>
      <c r="D30" s="3" t="s">
        <v>139</v>
      </c>
      <c r="E30" s="3" t="s">
        <v>140</v>
      </c>
      <c r="F30" s="3" t="s">
        <v>130</v>
      </c>
      <c r="G30" s="3" t="s">
        <v>141</v>
      </c>
      <c r="H30" s="3" t="s">
        <v>10</v>
      </c>
      <c r="I30" s="3" t="s">
        <v>142</v>
      </c>
      <c r="J30" s="5">
        <v>0.22</v>
      </c>
      <c r="K30" s="5">
        <f t="shared" si="0"/>
        <v>0.88</v>
      </c>
    </row>
    <row r="31" spans="1:11" x14ac:dyDescent="0.55000000000000004">
      <c r="A31" s="3">
        <v>30</v>
      </c>
      <c r="B31" s="3">
        <v>10</v>
      </c>
      <c r="C31" s="4" t="s">
        <v>143</v>
      </c>
      <c r="D31" s="3" t="s">
        <v>144</v>
      </c>
      <c r="E31" s="3" t="s">
        <v>145</v>
      </c>
      <c r="F31" s="3" t="s">
        <v>130</v>
      </c>
      <c r="G31" s="3" t="s">
        <v>146</v>
      </c>
      <c r="H31" s="3" t="s">
        <v>10</v>
      </c>
      <c r="I31" s="3" t="s">
        <v>147</v>
      </c>
      <c r="J31" s="5">
        <v>0.22</v>
      </c>
      <c r="K31" s="5">
        <f t="shared" si="0"/>
        <v>2.2000000000000002</v>
      </c>
    </row>
    <row r="32" spans="1:11" x14ac:dyDescent="0.55000000000000004">
      <c r="A32" s="3">
        <v>31</v>
      </c>
      <c r="B32" s="3">
        <v>1</v>
      </c>
      <c r="C32" s="4" t="s">
        <v>148</v>
      </c>
      <c r="D32" s="3" t="s">
        <v>149</v>
      </c>
      <c r="E32" s="3" t="s">
        <v>150</v>
      </c>
      <c r="F32" s="3" t="s">
        <v>130</v>
      </c>
      <c r="G32" s="3" t="s">
        <v>151</v>
      </c>
      <c r="H32" s="3" t="s">
        <v>10</v>
      </c>
      <c r="I32" s="3" t="s">
        <v>152</v>
      </c>
      <c r="J32" s="5">
        <v>0.09</v>
      </c>
      <c r="K32" s="5">
        <f t="shared" si="0"/>
        <v>0.09</v>
      </c>
    </row>
    <row r="33" spans="1:11" x14ac:dyDescent="0.55000000000000004">
      <c r="A33" s="3">
        <v>32</v>
      </c>
      <c r="B33" s="3">
        <v>1</v>
      </c>
      <c r="C33" s="4" t="s">
        <v>153</v>
      </c>
      <c r="D33" s="3" t="s">
        <v>154</v>
      </c>
      <c r="E33" s="3" t="s">
        <v>155</v>
      </c>
      <c r="F33" s="3" t="s">
        <v>130</v>
      </c>
      <c r="G33" s="3" t="s">
        <v>156</v>
      </c>
      <c r="H33" s="3" t="s">
        <v>10</v>
      </c>
      <c r="I33" s="3" t="s">
        <v>157</v>
      </c>
      <c r="J33" s="5">
        <v>0.09</v>
      </c>
      <c r="K33" s="5">
        <f t="shared" si="0"/>
        <v>0.09</v>
      </c>
    </row>
    <row r="34" spans="1:11" x14ac:dyDescent="0.55000000000000004">
      <c r="A34" s="3">
        <v>33</v>
      </c>
      <c r="B34" s="3">
        <v>1</v>
      </c>
      <c r="C34" s="4" t="s">
        <v>158</v>
      </c>
      <c r="D34" s="3" t="s">
        <v>159</v>
      </c>
      <c r="E34" s="3" t="s">
        <v>160</v>
      </c>
      <c r="F34" s="3" t="s">
        <v>161</v>
      </c>
      <c r="G34" s="3" t="s">
        <v>162</v>
      </c>
      <c r="H34" s="3" t="s">
        <v>10</v>
      </c>
      <c r="I34" s="3" t="s">
        <v>163</v>
      </c>
      <c r="J34" s="5">
        <v>0.09</v>
      </c>
      <c r="K34" s="5">
        <f t="shared" ref="K34:K65" si="1">J34*B34</f>
        <v>0.09</v>
      </c>
    </row>
    <row r="35" spans="1:11" x14ac:dyDescent="0.55000000000000004">
      <c r="A35" s="3">
        <v>34</v>
      </c>
      <c r="B35" s="3">
        <v>5</v>
      </c>
      <c r="C35" s="4" t="s">
        <v>164</v>
      </c>
      <c r="D35" s="3" t="s">
        <v>165</v>
      </c>
      <c r="E35" s="3" t="s">
        <v>166</v>
      </c>
      <c r="F35" s="3" t="s">
        <v>130</v>
      </c>
      <c r="G35" s="3" t="s">
        <v>167</v>
      </c>
      <c r="H35" s="3" t="s">
        <v>10</v>
      </c>
      <c r="I35" s="3" t="s">
        <v>168</v>
      </c>
      <c r="J35" s="5">
        <v>0.09</v>
      </c>
      <c r="K35" s="5">
        <f t="shared" si="1"/>
        <v>0.44999999999999996</v>
      </c>
    </row>
    <row r="36" spans="1:11" x14ac:dyDescent="0.55000000000000004">
      <c r="A36" s="3">
        <v>35</v>
      </c>
      <c r="B36" s="3">
        <v>3</v>
      </c>
      <c r="C36" s="4" t="s">
        <v>169</v>
      </c>
      <c r="D36" s="3" t="s">
        <v>170</v>
      </c>
      <c r="E36" s="3" t="s">
        <v>171</v>
      </c>
      <c r="F36" s="3" t="s">
        <v>130</v>
      </c>
      <c r="G36" s="3" t="s">
        <v>172</v>
      </c>
      <c r="H36" s="3" t="s">
        <v>10</v>
      </c>
      <c r="I36" s="3" t="s">
        <v>173</v>
      </c>
      <c r="J36" s="5">
        <v>0.22</v>
      </c>
      <c r="K36" s="5">
        <f t="shared" si="1"/>
        <v>0.66</v>
      </c>
    </row>
    <row r="37" spans="1:11" x14ac:dyDescent="0.55000000000000004">
      <c r="A37" s="3">
        <v>36</v>
      </c>
      <c r="B37" s="3">
        <v>3</v>
      </c>
      <c r="C37" s="4" t="s">
        <v>174</v>
      </c>
      <c r="D37" s="3" t="s">
        <v>175</v>
      </c>
      <c r="E37" s="3" t="s">
        <v>176</v>
      </c>
      <c r="F37" s="3" t="s">
        <v>130</v>
      </c>
      <c r="G37" s="3" t="s">
        <v>177</v>
      </c>
      <c r="H37" s="3" t="s">
        <v>10</v>
      </c>
      <c r="I37" s="3" t="s">
        <v>178</v>
      </c>
      <c r="J37" s="5">
        <v>0.22</v>
      </c>
      <c r="K37" s="5">
        <f t="shared" si="1"/>
        <v>0.66</v>
      </c>
    </row>
    <row r="38" spans="1:11" x14ac:dyDescent="0.55000000000000004">
      <c r="A38" s="3">
        <v>37</v>
      </c>
      <c r="B38" s="3">
        <v>2</v>
      </c>
      <c r="C38" s="4" t="s">
        <v>179</v>
      </c>
      <c r="D38" s="3" t="s">
        <v>180</v>
      </c>
      <c r="E38" s="3" t="s">
        <v>181</v>
      </c>
      <c r="F38" s="3" t="s">
        <v>182</v>
      </c>
      <c r="G38" s="3" t="s">
        <v>183</v>
      </c>
      <c r="H38" s="3" t="s">
        <v>10</v>
      </c>
      <c r="I38" s="3" t="s">
        <v>184</v>
      </c>
      <c r="J38" s="5">
        <v>1.05</v>
      </c>
      <c r="K38" s="5">
        <f t="shared" si="1"/>
        <v>2.1</v>
      </c>
    </row>
    <row r="39" spans="1:11" x14ac:dyDescent="0.55000000000000004">
      <c r="A39" s="3">
        <v>38</v>
      </c>
      <c r="B39" s="3">
        <v>1</v>
      </c>
      <c r="C39" s="4" t="s">
        <v>185</v>
      </c>
      <c r="D39" s="3" t="s">
        <v>186</v>
      </c>
      <c r="E39" s="3" t="s">
        <v>187</v>
      </c>
      <c r="F39" s="3" t="s">
        <v>182</v>
      </c>
      <c r="G39" s="3" t="s">
        <v>188</v>
      </c>
      <c r="H39" s="3" t="s">
        <v>10</v>
      </c>
      <c r="I39" s="3" t="s">
        <v>189</v>
      </c>
      <c r="J39" s="5">
        <v>0.83</v>
      </c>
      <c r="K39" s="5">
        <f t="shared" si="1"/>
        <v>0.83</v>
      </c>
    </row>
    <row r="40" spans="1:11" x14ac:dyDescent="0.55000000000000004">
      <c r="A40" s="3">
        <v>39</v>
      </c>
      <c r="B40" s="3">
        <v>1</v>
      </c>
      <c r="C40" s="4" t="s">
        <v>190</v>
      </c>
      <c r="D40" s="3" t="s">
        <v>191</v>
      </c>
      <c r="E40" s="3" t="s">
        <v>192</v>
      </c>
      <c r="F40" s="3" t="s">
        <v>182</v>
      </c>
      <c r="G40" s="3" t="s">
        <v>193</v>
      </c>
      <c r="H40" s="3" t="s">
        <v>10</v>
      </c>
      <c r="I40" s="3" t="s">
        <v>194</v>
      </c>
      <c r="J40" s="5">
        <v>0.81</v>
      </c>
      <c r="K40" s="5">
        <f t="shared" si="1"/>
        <v>0.81</v>
      </c>
    </row>
    <row r="41" spans="1:11" x14ac:dyDescent="0.55000000000000004">
      <c r="A41" s="3">
        <v>40</v>
      </c>
      <c r="B41" s="3">
        <v>1</v>
      </c>
      <c r="C41" s="4" t="s">
        <v>195</v>
      </c>
      <c r="D41" s="3" t="s">
        <v>196</v>
      </c>
      <c r="E41" s="3" t="s">
        <v>197</v>
      </c>
      <c r="F41" s="3" t="s">
        <v>198</v>
      </c>
      <c r="G41" s="3" t="s">
        <v>199</v>
      </c>
      <c r="H41" s="3" t="s">
        <v>200</v>
      </c>
      <c r="I41" s="3" t="s">
        <v>201</v>
      </c>
      <c r="J41" s="5">
        <v>0.89</v>
      </c>
      <c r="K41" s="5">
        <f t="shared" si="1"/>
        <v>0.89</v>
      </c>
    </row>
    <row r="42" spans="1:11" x14ac:dyDescent="0.55000000000000004">
      <c r="A42" s="3">
        <v>41</v>
      </c>
      <c r="B42" s="3">
        <v>1</v>
      </c>
      <c r="C42" s="4" t="s">
        <v>202</v>
      </c>
      <c r="D42" s="3" t="s">
        <v>203</v>
      </c>
      <c r="E42" s="3" t="s">
        <v>204</v>
      </c>
      <c r="F42" s="3" t="s">
        <v>205</v>
      </c>
      <c r="G42" s="3" t="s">
        <v>206</v>
      </c>
      <c r="H42" s="3" t="s">
        <v>10</v>
      </c>
      <c r="I42" s="3" t="s">
        <v>207</v>
      </c>
      <c r="J42" s="5">
        <v>8.09</v>
      </c>
      <c r="K42" s="5">
        <f t="shared" si="1"/>
        <v>8.09</v>
      </c>
    </row>
    <row r="43" spans="1:11" x14ac:dyDescent="0.55000000000000004">
      <c r="A43" s="3">
        <v>42</v>
      </c>
      <c r="B43" s="3">
        <v>1</v>
      </c>
      <c r="C43" s="4" t="s">
        <v>208</v>
      </c>
      <c r="D43" s="3" t="s">
        <v>209</v>
      </c>
      <c r="E43" s="3" t="s">
        <v>210</v>
      </c>
      <c r="F43" s="3" t="s">
        <v>205</v>
      </c>
      <c r="G43" s="3" t="s">
        <v>211</v>
      </c>
      <c r="H43" s="3" t="s">
        <v>10</v>
      </c>
      <c r="I43" s="3" t="s">
        <v>212</v>
      </c>
      <c r="J43" s="5">
        <v>7.39</v>
      </c>
      <c r="K43" s="5">
        <f t="shared" si="1"/>
        <v>7.39</v>
      </c>
    </row>
    <row r="44" spans="1:11" x14ac:dyDescent="0.55000000000000004">
      <c r="A44" s="3">
        <v>43</v>
      </c>
      <c r="B44" s="3">
        <v>1</v>
      </c>
      <c r="C44" s="4" t="s">
        <v>213</v>
      </c>
      <c r="D44" s="3" t="s">
        <v>214</v>
      </c>
      <c r="E44" s="3" t="s">
        <v>215</v>
      </c>
      <c r="F44" s="3" t="s">
        <v>130</v>
      </c>
      <c r="G44" s="3" t="s">
        <v>216</v>
      </c>
      <c r="H44" s="3" t="s">
        <v>10</v>
      </c>
      <c r="I44" s="3" t="s">
        <v>217</v>
      </c>
      <c r="J44" s="5">
        <v>0.09</v>
      </c>
      <c r="K44" s="5">
        <f t="shared" si="1"/>
        <v>0.09</v>
      </c>
    </row>
    <row r="45" spans="1:11" x14ac:dyDescent="0.55000000000000004">
      <c r="A45" s="3">
        <v>44</v>
      </c>
      <c r="B45" s="3">
        <v>2</v>
      </c>
      <c r="C45" s="4" t="s">
        <v>218</v>
      </c>
      <c r="D45" s="3" t="s">
        <v>219</v>
      </c>
      <c r="E45" s="3" t="s">
        <v>220</v>
      </c>
      <c r="F45" s="3" t="s">
        <v>221</v>
      </c>
      <c r="G45" s="3" t="s">
        <v>222</v>
      </c>
      <c r="H45" s="3" t="s">
        <v>200</v>
      </c>
      <c r="I45" s="3" t="s">
        <v>223</v>
      </c>
      <c r="J45" s="5">
        <v>0.75</v>
      </c>
      <c r="K45" s="5">
        <f t="shared" si="1"/>
        <v>1.5</v>
      </c>
    </row>
    <row r="46" spans="1:11" x14ac:dyDescent="0.55000000000000004">
      <c r="A46" s="3">
        <v>45</v>
      </c>
      <c r="B46" s="3">
        <v>2</v>
      </c>
      <c r="C46" s="4" t="s">
        <v>224</v>
      </c>
      <c r="D46" s="3" t="s">
        <v>225</v>
      </c>
      <c r="E46" s="3" t="s">
        <v>226</v>
      </c>
      <c r="F46" s="3" t="s">
        <v>221</v>
      </c>
      <c r="G46" s="3" t="s">
        <v>227</v>
      </c>
      <c r="H46" s="3" t="s">
        <v>200</v>
      </c>
      <c r="I46" s="3" t="s">
        <v>228</v>
      </c>
      <c r="J46" s="5">
        <v>0.75</v>
      </c>
      <c r="K46" s="5">
        <f t="shared" si="1"/>
        <v>1.5</v>
      </c>
    </row>
    <row r="47" spans="1:11" x14ac:dyDescent="0.55000000000000004">
      <c r="A47" s="3">
        <v>46</v>
      </c>
      <c r="B47" s="3">
        <v>2</v>
      </c>
      <c r="C47" s="4" t="s">
        <v>229</v>
      </c>
      <c r="D47" s="3" t="s">
        <v>230</v>
      </c>
      <c r="E47" s="3" t="s">
        <v>231</v>
      </c>
      <c r="F47" s="3" t="s">
        <v>182</v>
      </c>
      <c r="G47" s="3" t="s">
        <v>232</v>
      </c>
      <c r="H47" s="3" t="s">
        <v>10</v>
      </c>
      <c r="I47" s="3" t="s">
        <v>233</v>
      </c>
      <c r="J47" s="5">
        <v>3.12</v>
      </c>
      <c r="K47" s="5">
        <f t="shared" si="1"/>
        <v>6.24</v>
      </c>
    </row>
    <row r="48" spans="1:11" x14ac:dyDescent="0.55000000000000004">
      <c r="A48" s="3">
        <v>47</v>
      </c>
      <c r="B48" s="3">
        <v>14</v>
      </c>
      <c r="C48" s="4" t="s">
        <v>234</v>
      </c>
      <c r="D48" s="3" t="s">
        <v>235</v>
      </c>
      <c r="E48" s="3" t="s">
        <v>236</v>
      </c>
      <c r="F48" s="3" t="s">
        <v>130</v>
      </c>
      <c r="G48" s="3" t="s">
        <v>237</v>
      </c>
      <c r="H48" s="3" t="s">
        <v>10</v>
      </c>
      <c r="I48" s="3" t="s">
        <v>238</v>
      </c>
      <c r="J48" s="5">
        <v>0.09</v>
      </c>
      <c r="K48" s="5">
        <f t="shared" si="1"/>
        <v>1.26</v>
      </c>
    </row>
    <row r="49" spans="1:11" x14ac:dyDescent="0.55000000000000004">
      <c r="A49" s="3">
        <v>48</v>
      </c>
      <c r="B49" s="3">
        <v>1</v>
      </c>
      <c r="C49" s="4" t="s">
        <v>239</v>
      </c>
      <c r="D49" s="3" t="s">
        <v>144</v>
      </c>
      <c r="E49" s="3" t="s">
        <v>240</v>
      </c>
      <c r="F49" s="3" t="s">
        <v>130</v>
      </c>
      <c r="G49" s="3" t="s">
        <v>241</v>
      </c>
      <c r="H49" s="3" t="s">
        <v>10</v>
      </c>
      <c r="I49" s="3" t="s">
        <v>242</v>
      </c>
      <c r="J49" s="5">
        <v>0.7</v>
      </c>
      <c r="K49" s="5">
        <f t="shared" si="1"/>
        <v>0.7</v>
      </c>
    </row>
    <row r="50" spans="1:11" x14ac:dyDescent="0.55000000000000004">
      <c r="A50" s="3">
        <v>49</v>
      </c>
      <c r="B50" s="3">
        <v>1</v>
      </c>
      <c r="C50" s="4" t="s">
        <v>243</v>
      </c>
      <c r="D50" s="3" t="s">
        <v>244</v>
      </c>
      <c r="E50" s="3" t="s">
        <v>245</v>
      </c>
      <c r="F50" s="3" t="s">
        <v>130</v>
      </c>
      <c r="G50" s="3" t="s">
        <v>246</v>
      </c>
      <c r="H50" s="3" t="s">
        <v>10</v>
      </c>
      <c r="I50" s="3" t="s">
        <v>247</v>
      </c>
      <c r="J50" s="5">
        <v>0.09</v>
      </c>
      <c r="K50" s="5">
        <f t="shared" si="1"/>
        <v>0.09</v>
      </c>
    </row>
    <row r="51" spans="1:11" x14ac:dyDescent="0.55000000000000004">
      <c r="A51" s="3">
        <v>50</v>
      </c>
      <c r="B51" s="3">
        <v>2</v>
      </c>
      <c r="C51" s="4" t="s">
        <v>248</v>
      </c>
      <c r="D51" s="3" t="s">
        <v>249</v>
      </c>
      <c r="E51" s="3" t="s">
        <v>250</v>
      </c>
      <c r="F51" s="3" t="s">
        <v>251</v>
      </c>
      <c r="G51" s="3" t="s">
        <v>252</v>
      </c>
      <c r="H51" s="3" t="s">
        <v>10</v>
      </c>
      <c r="I51" s="3" t="s">
        <v>253</v>
      </c>
      <c r="J51" s="5">
        <v>0.09</v>
      </c>
      <c r="K51" s="5">
        <f t="shared" si="1"/>
        <v>0.18</v>
      </c>
    </row>
    <row r="52" spans="1:11" x14ac:dyDescent="0.55000000000000004">
      <c r="A52" s="3">
        <v>51</v>
      </c>
      <c r="B52" s="3">
        <v>2</v>
      </c>
      <c r="C52" s="4" t="s">
        <v>254</v>
      </c>
      <c r="D52" s="3" t="s">
        <v>255</v>
      </c>
      <c r="E52" s="3" t="s">
        <v>256</v>
      </c>
      <c r="F52" s="3" t="s">
        <v>251</v>
      </c>
      <c r="G52" s="3" t="s">
        <v>257</v>
      </c>
      <c r="H52" s="3" t="s">
        <v>10</v>
      </c>
      <c r="I52" s="3" t="s">
        <v>258</v>
      </c>
      <c r="J52" s="5">
        <v>0.09</v>
      </c>
      <c r="K52" s="5">
        <f t="shared" si="1"/>
        <v>0.18</v>
      </c>
    </row>
    <row r="53" spans="1:11" x14ac:dyDescent="0.55000000000000004">
      <c r="A53" s="3">
        <v>52</v>
      </c>
      <c r="B53" s="3">
        <v>2</v>
      </c>
      <c r="C53" s="4" t="s">
        <v>259</v>
      </c>
      <c r="D53" s="3" t="s">
        <v>260</v>
      </c>
      <c r="E53" s="3" t="s">
        <v>261</v>
      </c>
      <c r="F53" s="3" t="s">
        <v>161</v>
      </c>
      <c r="G53" s="3" t="s">
        <v>262</v>
      </c>
      <c r="H53" s="3" t="s">
        <v>10</v>
      </c>
      <c r="I53" s="3" t="s">
        <v>263</v>
      </c>
      <c r="J53" s="5">
        <v>0.09</v>
      </c>
      <c r="K53" s="5">
        <f t="shared" si="1"/>
        <v>0.18</v>
      </c>
    </row>
    <row r="54" spans="1:11" x14ac:dyDescent="0.55000000000000004">
      <c r="A54" s="3">
        <v>53</v>
      </c>
      <c r="B54" s="3">
        <v>2</v>
      </c>
      <c r="C54" s="4" t="s">
        <v>264</v>
      </c>
      <c r="D54" s="3" t="s">
        <v>265</v>
      </c>
      <c r="E54" s="3" t="s">
        <v>266</v>
      </c>
      <c r="F54" s="3" t="s">
        <v>161</v>
      </c>
      <c r="G54" s="3" t="s">
        <v>267</v>
      </c>
      <c r="H54" s="3" t="s">
        <v>10</v>
      </c>
      <c r="I54" s="3" t="s">
        <v>268</v>
      </c>
      <c r="J54" s="5">
        <v>0.09</v>
      </c>
      <c r="K54" s="5">
        <f t="shared" si="1"/>
        <v>0.18</v>
      </c>
    </row>
    <row r="55" spans="1:11" x14ac:dyDescent="0.55000000000000004">
      <c r="A55" s="3">
        <v>54</v>
      </c>
      <c r="B55" s="3">
        <v>2</v>
      </c>
      <c r="C55" s="4" t="s">
        <v>269</v>
      </c>
      <c r="D55" s="3" t="s">
        <v>270</v>
      </c>
      <c r="E55" s="3" t="s">
        <v>271</v>
      </c>
      <c r="F55" s="3" t="s">
        <v>161</v>
      </c>
      <c r="G55" s="3" t="s">
        <v>272</v>
      </c>
      <c r="H55" s="3" t="s">
        <v>10</v>
      </c>
      <c r="I55" s="3" t="s">
        <v>273</v>
      </c>
      <c r="J55" s="5">
        <v>0.09</v>
      </c>
      <c r="K55" s="5">
        <f t="shared" si="1"/>
        <v>0.18</v>
      </c>
    </row>
    <row r="56" spans="1:11" x14ac:dyDescent="0.55000000000000004">
      <c r="A56" s="3">
        <v>55</v>
      </c>
      <c r="B56" s="3">
        <v>8</v>
      </c>
      <c r="C56" s="4" t="s">
        <v>274</v>
      </c>
      <c r="D56" s="3" t="s">
        <v>275</v>
      </c>
      <c r="E56" s="3" t="s">
        <v>276</v>
      </c>
      <c r="F56" s="3" t="s">
        <v>130</v>
      </c>
      <c r="G56" s="3" t="s">
        <v>277</v>
      </c>
      <c r="H56" s="3" t="s">
        <v>10</v>
      </c>
      <c r="I56" s="3" t="s">
        <v>278</v>
      </c>
      <c r="J56" s="5">
        <v>0.09</v>
      </c>
      <c r="K56" s="5">
        <f t="shared" si="1"/>
        <v>0.72</v>
      </c>
    </row>
    <row r="57" spans="1:11" x14ac:dyDescent="0.55000000000000004">
      <c r="A57" s="3">
        <v>56</v>
      </c>
      <c r="B57" s="3">
        <v>1</v>
      </c>
      <c r="C57" s="4" t="s">
        <v>279</v>
      </c>
      <c r="D57" s="3" t="s">
        <v>280</v>
      </c>
      <c r="E57" s="3" t="s">
        <v>281</v>
      </c>
      <c r="F57" s="3" t="s">
        <v>70</v>
      </c>
      <c r="G57" s="3">
        <v>750315371</v>
      </c>
      <c r="H57" s="3" t="s">
        <v>10</v>
      </c>
      <c r="I57" s="3" t="s">
        <v>282</v>
      </c>
      <c r="J57" s="5">
        <v>2.36</v>
      </c>
      <c r="K57" s="5">
        <f t="shared" si="1"/>
        <v>2.36</v>
      </c>
    </row>
    <row r="58" spans="1:11" x14ac:dyDescent="0.55000000000000004">
      <c r="A58" s="3">
        <v>57</v>
      </c>
      <c r="B58" s="3">
        <v>1</v>
      </c>
      <c r="C58" s="4" t="s">
        <v>283</v>
      </c>
      <c r="D58" s="3" t="s">
        <v>284</v>
      </c>
      <c r="E58" s="3" t="s">
        <v>374</v>
      </c>
      <c r="F58" s="3" t="s">
        <v>285</v>
      </c>
      <c r="G58" s="3" t="s">
        <v>284</v>
      </c>
      <c r="H58" s="3" t="s">
        <v>10</v>
      </c>
      <c r="I58" s="3" t="s">
        <v>286</v>
      </c>
      <c r="J58" s="5">
        <v>0.56000000000000005</v>
      </c>
      <c r="K58" s="5">
        <f t="shared" si="1"/>
        <v>0.56000000000000005</v>
      </c>
    </row>
    <row r="59" spans="1:11" x14ac:dyDescent="0.55000000000000004">
      <c r="A59" s="3">
        <v>58</v>
      </c>
      <c r="B59" s="3">
        <v>1</v>
      </c>
      <c r="C59" s="4" t="s">
        <v>287</v>
      </c>
      <c r="D59" s="3" t="s">
        <v>288</v>
      </c>
      <c r="E59" s="3" t="s">
        <v>289</v>
      </c>
      <c r="F59" s="3" t="s">
        <v>290</v>
      </c>
      <c r="G59" s="3" t="s">
        <v>291</v>
      </c>
      <c r="H59" s="3" t="s">
        <v>10</v>
      </c>
      <c r="I59" s="3" t="s">
        <v>292</v>
      </c>
      <c r="J59" s="5">
        <v>11.22</v>
      </c>
      <c r="K59" s="5">
        <f t="shared" si="1"/>
        <v>11.22</v>
      </c>
    </row>
    <row r="60" spans="1:11" x14ac:dyDescent="0.55000000000000004">
      <c r="A60" s="3">
        <v>59</v>
      </c>
      <c r="B60" s="3">
        <v>1</v>
      </c>
      <c r="C60" s="4" t="s">
        <v>293</v>
      </c>
      <c r="D60" s="3" t="s">
        <v>294</v>
      </c>
      <c r="E60" s="3" t="s">
        <v>295</v>
      </c>
      <c r="F60" s="3" t="s">
        <v>296</v>
      </c>
      <c r="G60" s="3" t="s">
        <v>297</v>
      </c>
      <c r="H60" s="3" t="s">
        <v>10</v>
      </c>
      <c r="I60" s="3" t="s">
        <v>298</v>
      </c>
      <c r="J60" s="5">
        <v>3.03</v>
      </c>
      <c r="K60" s="5">
        <f t="shared" si="1"/>
        <v>3.03</v>
      </c>
    </row>
    <row r="61" spans="1:11" x14ac:dyDescent="0.55000000000000004">
      <c r="A61" s="3">
        <v>60</v>
      </c>
      <c r="B61" s="3">
        <v>1</v>
      </c>
      <c r="C61" s="4" t="s">
        <v>299</v>
      </c>
      <c r="D61" s="3" t="s">
        <v>300</v>
      </c>
      <c r="E61" s="3" t="s">
        <v>301</v>
      </c>
      <c r="F61" s="3" t="s">
        <v>296</v>
      </c>
      <c r="G61" s="3" t="s">
        <v>302</v>
      </c>
      <c r="H61" s="3" t="s">
        <v>10</v>
      </c>
      <c r="I61" s="3" t="s">
        <v>303</v>
      </c>
      <c r="J61" s="5">
        <v>1.7</v>
      </c>
      <c r="K61" s="5">
        <f t="shared" si="1"/>
        <v>1.7</v>
      </c>
    </row>
    <row r="62" spans="1:11" ht="28.8" x14ac:dyDescent="0.55000000000000004">
      <c r="A62" s="3">
        <v>61</v>
      </c>
      <c r="B62" s="3">
        <v>1</v>
      </c>
      <c r="C62" s="4" t="s">
        <v>304</v>
      </c>
      <c r="D62" s="3" t="s">
        <v>305</v>
      </c>
      <c r="E62" s="3" t="s">
        <v>306</v>
      </c>
      <c r="F62" s="3" t="s">
        <v>296</v>
      </c>
      <c r="G62" s="3" t="s">
        <v>307</v>
      </c>
      <c r="H62" s="3" t="s">
        <v>10</v>
      </c>
      <c r="I62" s="3" t="s">
        <v>308</v>
      </c>
      <c r="J62" s="5">
        <v>1.1299999999999999</v>
      </c>
      <c r="K62" s="5">
        <f t="shared" si="1"/>
        <v>1.1299999999999999</v>
      </c>
    </row>
    <row r="63" spans="1:11" x14ac:dyDescent="0.55000000000000004">
      <c r="A63" s="3">
        <v>62</v>
      </c>
      <c r="B63" s="3">
        <v>1</v>
      </c>
      <c r="C63" s="4" t="s">
        <v>309</v>
      </c>
      <c r="D63" s="3" t="s">
        <v>310</v>
      </c>
      <c r="E63" s="3" t="s">
        <v>311</v>
      </c>
      <c r="F63" s="3" t="s">
        <v>296</v>
      </c>
      <c r="G63" s="3" t="s">
        <v>312</v>
      </c>
      <c r="H63" s="3" t="s">
        <v>10</v>
      </c>
      <c r="I63" s="3" t="s">
        <v>313</v>
      </c>
      <c r="J63" s="5">
        <v>1.22</v>
      </c>
      <c r="K63" s="5">
        <f t="shared" si="1"/>
        <v>1.22</v>
      </c>
    </row>
    <row r="64" spans="1:11" x14ac:dyDescent="0.55000000000000004">
      <c r="A64" s="3">
        <v>63</v>
      </c>
      <c r="B64" s="3">
        <v>1</v>
      </c>
      <c r="C64" s="4" t="s">
        <v>314</v>
      </c>
      <c r="D64" s="3" t="s">
        <v>315</v>
      </c>
      <c r="E64" s="3" t="s">
        <v>316</v>
      </c>
      <c r="F64" s="3" t="s">
        <v>317</v>
      </c>
      <c r="G64" s="3" t="s">
        <v>318</v>
      </c>
      <c r="H64" s="3" t="s">
        <v>10</v>
      </c>
      <c r="I64" s="3" t="s">
        <v>319</v>
      </c>
      <c r="J64" s="5">
        <v>4.8099999999999996</v>
      </c>
      <c r="K64" s="5">
        <f t="shared" si="1"/>
        <v>4.8099999999999996</v>
      </c>
    </row>
    <row r="65" spans="1:11" x14ac:dyDescent="0.55000000000000004">
      <c r="A65" s="3">
        <v>64</v>
      </c>
      <c r="B65" s="3">
        <v>1</v>
      </c>
      <c r="C65" s="4" t="s">
        <v>320</v>
      </c>
      <c r="D65" s="3" t="s">
        <v>321</v>
      </c>
      <c r="E65" s="3" t="s">
        <v>322</v>
      </c>
      <c r="F65" s="3" t="s">
        <v>323</v>
      </c>
      <c r="G65" s="3" t="s">
        <v>321</v>
      </c>
      <c r="H65" s="3" t="s">
        <v>10</v>
      </c>
      <c r="I65" s="3" t="s">
        <v>324</v>
      </c>
      <c r="J65" s="5">
        <v>1.87</v>
      </c>
      <c r="K65" s="5">
        <f t="shared" si="1"/>
        <v>1.87</v>
      </c>
    </row>
    <row r="66" spans="1:11" x14ac:dyDescent="0.55000000000000004">
      <c r="A66" s="3">
        <v>65</v>
      </c>
      <c r="B66" s="3">
        <v>2</v>
      </c>
      <c r="C66" s="4" t="s">
        <v>325</v>
      </c>
      <c r="D66" s="3" t="s">
        <v>326</v>
      </c>
      <c r="E66" s="3" t="s">
        <v>375</v>
      </c>
      <c r="F66" s="3" t="s">
        <v>296</v>
      </c>
      <c r="G66" s="3" t="s">
        <v>327</v>
      </c>
      <c r="H66" s="3" t="s">
        <v>10</v>
      </c>
      <c r="I66" s="3" t="s">
        <v>328</v>
      </c>
      <c r="J66" s="5">
        <v>2.86</v>
      </c>
      <c r="K66" s="5">
        <f t="shared" ref="K66:K73" si="2">J66*B66</f>
        <v>5.72</v>
      </c>
    </row>
    <row r="67" spans="1:11" x14ac:dyDescent="0.55000000000000004">
      <c r="A67" s="3">
        <v>66</v>
      </c>
      <c r="B67" s="3">
        <v>1</v>
      </c>
      <c r="C67" s="4" t="s">
        <v>329</v>
      </c>
      <c r="D67" s="3" t="s">
        <v>330</v>
      </c>
      <c r="E67" s="3" t="s">
        <v>331</v>
      </c>
      <c r="F67" s="3" t="s">
        <v>332</v>
      </c>
      <c r="G67" s="3" t="s">
        <v>330</v>
      </c>
      <c r="H67" s="3" t="s">
        <v>10</v>
      </c>
      <c r="I67" s="3" t="s">
        <v>333</v>
      </c>
      <c r="J67" s="5">
        <v>1.66</v>
      </c>
      <c r="K67" s="5">
        <f t="shared" si="2"/>
        <v>1.66</v>
      </c>
    </row>
    <row r="68" spans="1:11" x14ac:dyDescent="0.55000000000000004">
      <c r="A68" s="3">
        <v>67</v>
      </c>
      <c r="B68" s="3">
        <v>4</v>
      </c>
      <c r="C68" s="4" t="s">
        <v>334</v>
      </c>
      <c r="D68" s="3" t="s">
        <v>335</v>
      </c>
      <c r="E68" s="3" t="s">
        <v>380</v>
      </c>
      <c r="F68" s="3" t="s">
        <v>296</v>
      </c>
      <c r="G68" s="3" t="s">
        <v>336</v>
      </c>
      <c r="H68" s="3" t="s">
        <v>10</v>
      </c>
      <c r="I68" s="3" t="s">
        <v>337</v>
      </c>
      <c r="J68" s="5">
        <v>2.2400000000000002</v>
      </c>
      <c r="K68" s="5">
        <f t="shared" si="2"/>
        <v>8.9600000000000009</v>
      </c>
    </row>
    <row r="69" spans="1:11" x14ac:dyDescent="0.55000000000000004">
      <c r="A69" s="3">
        <v>68</v>
      </c>
      <c r="B69" s="3">
        <v>4</v>
      </c>
      <c r="C69" s="4" t="s">
        <v>338</v>
      </c>
      <c r="D69" s="3" t="s">
        <v>339</v>
      </c>
      <c r="E69" s="3" t="s">
        <v>340</v>
      </c>
      <c r="F69" s="3" t="s">
        <v>296</v>
      </c>
      <c r="G69" s="3" t="s">
        <v>341</v>
      </c>
      <c r="H69" s="3" t="s">
        <v>10</v>
      </c>
      <c r="I69" s="3" t="s">
        <v>342</v>
      </c>
      <c r="J69" s="5">
        <v>0.39</v>
      </c>
      <c r="K69" s="5">
        <f t="shared" si="2"/>
        <v>1.56</v>
      </c>
    </row>
    <row r="70" spans="1:11" x14ac:dyDescent="0.55000000000000004">
      <c r="A70" s="3">
        <v>69</v>
      </c>
      <c r="B70" s="3">
        <v>1</v>
      </c>
      <c r="C70" s="4" t="s">
        <v>343</v>
      </c>
      <c r="D70" s="3" t="s">
        <v>344</v>
      </c>
      <c r="E70" s="3" t="s">
        <v>345</v>
      </c>
      <c r="F70" s="3" t="s">
        <v>296</v>
      </c>
      <c r="G70" s="3" t="s">
        <v>346</v>
      </c>
      <c r="H70" s="3" t="s">
        <v>10</v>
      </c>
      <c r="I70" s="3" t="s">
        <v>347</v>
      </c>
      <c r="J70" s="5">
        <v>0.44</v>
      </c>
      <c r="K70" s="5">
        <f t="shared" si="2"/>
        <v>0.44</v>
      </c>
    </row>
    <row r="71" spans="1:11" x14ac:dyDescent="0.55000000000000004">
      <c r="A71" s="3">
        <v>70</v>
      </c>
      <c r="B71" s="3">
        <v>3</v>
      </c>
      <c r="C71" s="4" t="s">
        <v>348</v>
      </c>
      <c r="D71" s="3" t="s">
        <v>349</v>
      </c>
      <c r="E71" s="3" t="s">
        <v>350</v>
      </c>
      <c r="F71" s="3" t="s">
        <v>296</v>
      </c>
      <c r="G71" s="3" t="s">
        <v>351</v>
      </c>
      <c r="H71" s="3" t="s">
        <v>10</v>
      </c>
      <c r="I71" s="3" t="s">
        <v>352</v>
      </c>
      <c r="J71" s="5">
        <v>0.43</v>
      </c>
      <c r="K71" s="5">
        <f t="shared" si="2"/>
        <v>1.29</v>
      </c>
    </row>
    <row r="72" spans="1:11" ht="28.8" x14ac:dyDescent="0.55000000000000004">
      <c r="A72" s="3">
        <v>71</v>
      </c>
      <c r="B72" s="3">
        <v>1</v>
      </c>
      <c r="C72" s="4" t="s">
        <v>353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10</v>
      </c>
      <c r="I72" s="3" t="s">
        <v>358</v>
      </c>
      <c r="J72" s="5">
        <v>0.57999999999999996</v>
      </c>
      <c r="K72" s="5">
        <f t="shared" si="2"/>
        <v>0.57999999999999996</v>
      </c>
    </row>
    <row r="73" spans="1:11" ht="14.7" thickBot="1" x14ac:dyDescent="0.6">
      <c r="A73" s="3">
        <v>72</v>
      </c>
      <c r="B73" s="3">
        <v>1</v>
      </c>
      <c r="C73" s="4" t="s">
        <v>359</v>
      </c>
      <c r="D73" s="3" t="s">
        <v>360</v>
      </c>
      <c r="E73" s="3" t="s">
        <v>361</v>
      </c>
      <c r="F73" s="3" t="s">
        <v>356</v>
      </c>
      <c r="G73" s="3" t="s">
        <v>362</v>
      </c>
      <c r="H73" s="3" t="s">
        <v>10</v>
      </c>
      <c r="I73" s="3" t="s">
        <v>363</v>
      </c>
      <c r="J73" s="5">
        <v>1.29</v>
      </c>
      <c r="K73" s="7">
        <f t="shared" si="2"/>
        <v>1.29</v>
      </c>
    </row>
    <row r="74" spans="1:11" ht="14.7" thickTop="1" x14ac:dyDescent="0.55000000000000004">
      <c r="A74" s="3"/>
      <c r="B74" s="3"/>
      <c r="C74" s="4"/>
      <c r="D74" s="3"/>
      <c r="E74" s="3"/>
      <c r="F74" s="3"/>
      <c r="G74" s="3"/>
      <c r="H74" s="3"/>
      <c r="I74" s="3"/>
      <c r="J74" s="5"/>
      <c r="K74" s="6">
        <f>SUBTOTAL(109,Tabelle3[Gesamtpreis])</f>
        <v>127.01000000000006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</dc:creator>
  <cp:lastModifiedBy>Tobias-XPS</cp:lastModifiedBy>
  <dcterms:created xsi:type="dcterms:W3CDTF">2022-04-14T19:35:29Z</dcterms:created>
  <dcterms:modified xsi:type="dcterms:W3CDTF">2022-05-08T12:51:17Z</dcterms:modified>
</cp:coreProperties>
</file>